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mjobanbabbar/Documents/Excel Project/"/>
    </mc:Choice>
  </mc:AlternateContent>
  <xr:revisionPtr revIDLastSave="0" documentId="13_ncr:1_{BBDD0B62-83B3-F04F-B96B-463770416544}" xr6:coauthVersionLast="47" xr6:coauthVersionMax="47" xr10:uidLastSave="{00000000-0000-0000-0000-000000000000}"/>
  <bookViews>
    <workbookView xWindow="0" yWindow="660" windowWidth="29400" windowHeight="18460" activeTab="5" xr2:uid="{1BEA7D6F-FB69-DB41-9EC2-3376BC53BBD2}"/>
  </bookViews>
  <sheets>
    <sheet name="Business_Context" sheetId="1" r:id="rId1"/>
    <sheet name="Raw_Data" sheetId="2" r:id="rId2"/>
    <sheet name="Calculations" sheetId="3" r:id="rId3"/>
    <sheet name="Analysis_Pivots" sheetId="4" r:id="rId4"/>
    <sheet name="Dashboard" sheetId="5" r:id="rId5"/>
    <sheet name="Insights" sheetId="6" r:id="rId6"/>
  </sheets>
  <calcPr calcId="181029"/>
  <pivotCaches>
    <pivotCache cacheId="6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E4" i="5"/>
  <c r="B4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" i="3"/>
  <c r="A20" i="3"/>
  <c r="B20" i="3"/>
  <c r="C20" i="3"/>
  <c r="E20" i="3" s="1"/>
  <c r="D20" i="3"/>
  <c r="F20" i="3"/>
  <c r="A21" i="3"/>
  <c r="B21" i="3"/>
  <c r="C21" i="3"/>
  <c r="E21" i="3" s="1"/>
  <c r="D21" i="3"/>
  <c r="F21" i="3"/>
  <c r="A22" i="3"/>
  <c r="B22" i="3"/>
  <c r="C22" i="3"/>
  <c r="D22" i="3"/>
  <c r="E22" i="3"/>
  <c r="F22" i="3"/>
  <c r="A23" i="3"/>
  <c r="B23" i="3"/>
  <c r="C23" i="3"/>
  <c r="E23" i="3" s="1"/>
  <c r="D23" i="3"/>
  <c r="F23" i="3"/>
  <c r="A24" i="3"/>
  <c r="B24" i="3"/>
  <c r="C24" i="3"/>
  <c r="D24" i="3"/>
  <c r="E24" i="3"/>
  <c r="F24" i="3"/>
  <c r="A25" i="3"/>
  <c r="B25" i="3"/>
  <c r="C25" i="3"/>
  <c r="D25" i="3"/>
  <c r="E25" i="3"/>
  <c r="F25" i="3"/>
  <c r="A26" i="3"/>
  <c r="B26" i="3"/>
  <c r="C26" i="3"/>
  <c r="E26" i="3" s="1"/>
  <c r="D26" i="3"/>
  <c r="F26" i="3"/>
  <c r="A7" i="3"/>
  <c r="B7" i="3"/>
  <c r="C7" i="3"/>
  <c r="D7" i="3"/>
  <c r="E7" i="3" s="1"/>
  <c r="F7" i="3"/>
  <c r="A8" i="3"/>
  <c r="B8" i="3"/>
  <c r="C8" i="3"/>
  <c r="E8" i="3" s="1"/>
  <c r="D8" i="3"/>
  <c r="F8" i="3"/>
  <c r="A9" i="3"/>
  <c r="B9" i="3"/>
  <c r="C9" i="3"/>
  <c r="D9" i="3"/>
  <c r="E9" i="3"/>
  <c r="F9" i="3"/>
  <c r="A10" i="3"/>
  <c r="B10" i="3"/>
  <c r="C10" i="3"/>
  <c r="E10" i="3" s="1"/>
  <c r="D10" i="3"/>
  <c r="F10" i="3"/>
  <c r="A11" i="3"/>
  <c r="B11" i="3"/>
  <c r="C11" i="3"/>
  <c r="D11" i="3"/>
  <c r="E11" i="3"/>
  <c r="F11" i="3"/>
  <c r="A12" i="3"/>
  <c r="B12" i="3"/>
  <c r="C12" i="3"/>
  <c r="D12" i="3"/>
  <c r="E12" i="3" s="1"/>
  <c r="F12" i="3"/>
  <c r="A13" i="3"/>
  <c r="B13" i="3"/>
  <c r="C13" i="3"/>
  <c r="E13" i="3" s="1"/>
  <c r="D13" i="3"/>
  <c r="F13" i="3"/>
  <c r="A14" i="3"/>
  <c r="B14" i="3"/>
  <c r="C14" i="3"/>
  <c r="D14" i="3"/>
  <c r="E14" i="3"/>
  <c r="F14" i="3"/>
  <c r="A15" i="3"/>
  <c r="B15" i="3"/>
  <c r="C15" i="3"/>
  <c r="E15" i="3" s="1"/>
  <c r="D15" i="3"/>
  <c r="F15" i="3"/>
  <c r="A16" i="3"/>
  <c r="B16" i="3"/>
  <c r="C16" i="3"/>
  <c r="D16" i="3"/>
  <c r="E16" i="3"/>
  <c r="F16" i="3"/>
  <c r="A17" i="3"/>
  <c r="B17" i="3"/>
  <c r="C17" i="3"/>
  <c r="D17" i="3"/>
  <c r="E17" i="3"/>
  <c r="F17" i="3"/>
  <c r="A18" i="3"/>
  <c r="B18" i="3"/>
  <c r="C18" i="3"/>
  <c r="E18" i="3" s="1"/>
  <c r="D18" i="3"/>
  <c r="F18" i="3"/>
  <c r="A19" i="3"/>
  <c r="B19" i="3"/>
  <c r="C19" i="3"/>
  <c r="D19" i="3"/>
  <c r="E19" i="3"/>
  <c r="F19" i="3"/>
  <c r="F3" i="3"/>
  <c r="F4" i="3"/>
  <c r="F5" i="3"/>
  <c r="F6" i="3"/>
  <c r="E3" i="3"/>
  <c r="E4" i="3"/>
  <c r="E5" i="3"/>
  <c r="E6" i="3"/>
  <c r="D3" i="3"/>
  <c r="D4" i="3"/>
  <c r="D5" i="3"/>
  <c r="D6" i="3"/>
  <c r="C3" i="3"/>
  <c r="C4" i="3"/>
  <c r="C5" i="3"/>
  <c r="C6" i="3"/>
  <c r="F2" i="3"/>
  <c r="E2" i="3"/>
  <c r="D2" i="3"/>
  <c r="C2" i="3"/>
  <c r="B3" i="3"/>
  <c r="B4" i="3"/>
  <c r="B5" i="3"/>
  <c r="B6" i="3"/>
  <c r="A3" i="3"/>
  <c r="A4" i="3"/>
  <c r="A5" i="3"/>
  <c r="A6" i="3"/>
  <c r="A2" i="3"/>
  <c r="B2" i="3"/>
</calcChain>
</file>

<file path=xl/sharedStrings.xml><?xml version="1.0" encoding="utf-8"?>
<sst xmlns="http://schemas.openxmlformats.org/spreadsheetml/2006/main" count="95" uniqueCount="67">
  <si>
    <t>Business Context:</t>
  </si>
  <si>
    <t>A professional services company operating in New Zealand wants to analyse workforce</t>
  </si>
  <si>
    <t>productivity and burnout risk using employee time</t>
  </si>
  <si>
    <t>allocation data.</t>
  </si>
  <si>
    <t>Objective:</t>
  </si>
  <si>
    <t xml:space="preserve"> Identify roles with high burnout risk</t>
  </si>
  <si>
    <t xml:space="preserve"> Understand relationship between work hours, rest, and productivity</t>
  </si>
  <si>
    <t xml:space="preserve"> Support management decisions using Excel</t>
  </si>
  <si>
    <t>based analysis</t>
  </si>
  <si>
    <t>Employee_ID</t>
  </si>
  <si>
    <t>Role</t>
  </si>
  <si>
    <t>Work_Hours_Per_Day</t>
  </si>
  <si>
    <t>Commute_Hours_Per_Day</t>
  </si>
  <si>
    <t>Sleep_Hours_Per_Day</t>
  </si>
  <si>
    <t>Leisure_Hours_Per_Day</t>
  </si>
  <si>
    <t>Productivity_Score</t>
  </si>
  <si>
    <t>Data Analyst</t>
  </si>
  <si>
    <t>Business Analyst</t>
  </si>
  <si>
    <t>Software Engineer</t>
  </si>
  <si>
    <t>Consultant</t>
  </si>
  <si>
    <t>Operations Executive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</si>
  <si>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</si>
  <si>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</si>
  <si>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</si>
  <si>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</si>
  <si>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</si>
  <si>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</si>
  <si>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</si>
  <si>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</si>
  <si>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</si>
  <si>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</si>
  <si>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</si>
  <si>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</si>
  <si>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</si>
  <si>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</si>
  <si>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</si>
  <si>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</si>
  <si>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</si>
  <si>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</si>
  <si>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</si>
  <si>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</si>
  <si>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</si>
  <si>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</si>
  <si>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</si>
  <si>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</si>
  <si>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</si>
  <si>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Emplyee_ID</t>
  </si>
  <si>
    <t>Total _Worload_Hours</t>
  </si>
  <si>
    <t>Rest_Hours</t>
  </si>
  <si>
    <t>Burnout_Risk_Index</t>
  </si>
  <si>
    <t>Work_Life_Ratio</t>
  </si>
  <si>
    <t>Row Labels</t>
  </si>
  <si>
    <t>Grand Total</t>
  </si>
  <si>
    <t>Average Burnout Risk</t>
  </si>
  <si>
    <t>Average Productivity</t>
  </si>
  <si>
    <t>Workforce Productivity &amp; Burnout Risk Dashboard</t>
  </si>
  <si>
    <t>Average Productivity Score</t>
  </si>
  <si>
    <t>Average Daily Workload (hrs)</t>
  </si>
  <si>
    <t>Key Insights and Business Implications</t>
  </si>
  <si>
    <t>1. Software Engineers show the highest average burnout risk while also maintaining high productivity, indicating potential long</t>
  </si>
  <si>
    <t>term sustainability concerns.</t>
  </si>
  <si>
    <t>2. Consultants and Business Analysts display moderate burnout risk with relatively strong productivity, suggesting balanced but demanding workloads.</t>
  </si>
  <si>
    <t>3. Data Analysts have comparatively lower burnout risk, which may be linked to more stable work hours and better rest patterns.</t>
  </si>
  <si>
    <t>4. Increased commute hours contribute to higher burnout risk without a proportional increase in productivity.</t>
  </si>
  <si>
    <t>5. Overall results suggest that productivity gains achieved through longer work hours may not be sustainable without adequate rest and recovery.</t>
  </si>
  <si>
    <t>Business Recommendation:</t>
  </si>
  <si>
    <t>Management should explore workload optimisation strategies such as flexible hours or reduced commute burden to maintain productivity while reducing burnout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</si>
</sst>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30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Fill="1" applyBorder="1"/>
    <xf numFmtId="0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[Workforce_Productivity_Burnout_Analysis.xlsx]Analysis_Pivots!PivotTable10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Average</a:t>
            </a:r>
            <a:r>
              <a:rPr lang="en-GB" b="1" baseline="0"/>
              <a:t> Burnout Risk by Role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Analysis_Pivots!$B$4</c:f>
              <c:strCache>
                <c:ptCount val="1"/>
                <c:pt idx="0">
                  <c:v>Average Burnout Risk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Analysis_Pivots!$A$5:$A$10</c:f>
              <c:strCache>
                <c:ptCount val="5"/>
                <c:pt idx="0">
                  <c:v>Business Analyst</c:v>
                </c:pt>
                <c:pt idx="1">
                  <c:v>Consultant</c:v>
                </c:pt>
                <c:pt idx="2">
                  <c:v>Data Analyst</c:v>
                </c:pt>
                <c:pt idx="3">
                  <c:v>Operations Executive</c:v>
                </c:pt>
                <c:pt idx="4">
                  <c:v>Software Engineer</c:v>
                </c:pt>
              </c:strCache>
            </c:strRef>
          </c:cat>
          <c:val>
            <c:numRef>
              <c:f>Analysis_Pivots!$B$5:$B$10</c:f>
              <c:numCache>
                <c:formatCode>0.00</c:formatCode>
                <c:ptCount val="5"/>
                <c:pt idx="0">
                  <c:v>0.93308796466691213</c:v>
                </c:pt>
                <c:pt idx="1">
                  <c:v>1.1551820728291315</c:v>
                </c:pt>
                <c:pt idx="2">
                  <c:v>0.79090909090909101</c:v>
                </c:pt>
                <c:pt idx="3">
                  <c:v>0.83463203463203472</c:v>
                </c:pt>
                <c:pt idx="4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3-CC4B-8F13-F51BDC09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780095"/>
        <c:axId val="1937776063"/>
      </c:barChart>
      <c:catAx>
        <c:axId val="19377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76063"/>
        <c:crosses val="autoZero"/>
        <c:auto val="1"/>
        <c:lblAlgn val="ctr"/>
        <c:lblOffset val="100"/>
        <c:noMultiLvlLbl val="0"/>
      </c:catAx>
      <c:valAx>
        <c:axId val="19377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[Workforce_Productivity_Burnout_Analysis.xlsx]Analysis_Pivots!PivotTable10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Average Productivity Score</a:t>
            </a:r>
            <a:r>
              <a:rPr lang="en-GB" b="1" baseline="0"/>
              <a:t> by Role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Analysis_Pivots!$C$4</c:f>
              <c:strCache>
                <c:ptCount val="1"/>
                <c:pt idx="0">
                  <c:v>Average Productivity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Analysis_Pivots!$A$5:$A$10</c:f>
              <c:strCache>
                <c:ptCount val="5"/>
                <c:pt idx="0">
                  <c:v>Business Analyst</c:v>
                </c:pt>
                <c:pt idx="1">
                  <c:v>Consultant</c:v>
                </c:pt>
                <c:pt idx="2">
                  <c:v>Data Analyst</c:v>
                </c:pt>
                <c:pt idx="3">
                  <c:v>Operations Executive</c:v>
                </c:pt>
                <c:pt idx="4">
                  <c:v>Software Engineer</c:v>
                </c:pt>
              </c:strCache>
            </c:strRef>
          </c:cat>
          <c:val>
            <c:numRef>
              <c:f>Analysis_Pivots!$C$5:$C$10</c:f>
              <c:numCache>
                <c:formatCode>General</c:formatCode>
                <c:ptCount val="5"/>
                <c:pt idx="0">
                  <c:v>8.1999999999999993</c:v>
                </c:pt>
                <c:pt idx="1">
                  <c:v>7.6</c:v>
                </c:pt>
                <c:pt idx="2">
                  <c:v>6.9</c:v>
                </c:pt>
                <c:pt idx="3">
                  <c:v>6.7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C2-F24A-BE8E-517B5CADE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513599"/>
        <c:axId val="1731713599"/>
      </c:barChart>
      <c:catAx>
        <c:axId val="15675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713599"/>
        <c:crosses val="autoZero"/>
        <c:auto val="1"/>
        <c:lblAlgn val="ctr"/>
        <c:lblOffset val="100"/>
        <c:noMultiLvlLbl val="0"/>
      </c:catAx>
      <c:valAx>
        <c:axId val="173171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1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527548</xdr:colOff>
      <xdr:row>6</xdr:row>
      <xdr:rowOff>14320</xdr:rowOff>
    </xdr:from>
    <xdr:to>
      <xdr:col>4</xdr:col>
      <xdr:colOff>1913982</xdr:colOff>
      <xdr:row>23</xdr:row>
      <xdr:rowOff>122543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EF616-5433-434B-85BC-D08E80529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2297410</xdr:colOff>
      <xdr:row>5</xdr:row>
      <xdr:rowOff>185245</xdr:rowOff>
    </xdr:from>
    <xdr:to>
      <xdr:col>9</xdr:col>
      <xdr:colOff>629967</xdr:colOff>
      <xdr:row>23</xdr:row>
      <xdr:rowOff>133684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DCC41-FB4A-744C-8F44-4F02F5501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banveer Singh" refreshedDate="46068.469216666665" createdVersion="8" refreshedVersion="8" minRefreshableVersion="3" recordCount="25" xr:uid="{5901105B-D353-7149-BDCE-FB2571360100}">
  <cacheSource type="worksheet">
    <worksheetSource ref="A1:G26" sheet="Calculations"/>
  </cacheSource>
  <cacheFields count="7">
    <cacheField name="Emplyee_ID" numFmtId="0">
      <sharedItems/>
    </cacheField>
    <cacheField name="Role" numFmtId="0">
      <sharedItems count="5">
        <s v="Data Analyst"/>
        <s v="Business Analyst"/>
        <s v="Software Engineer"/>
        <s v="Consultant"/>
        <s v="Operations Executive"/>
      </sharedItems>
    </cacheField>
    <cacheField name="Total _Worload_Hours" numFmtId="0">
      <sharedItems containsSemiMixedTypes="0" containsString="0" containsNumber="1" minValue="7.5" maxValue="12.5"/>
    </cacheField>
    <cacheField name="Rest_Hours" numFmtId="0">
      <sharedItems containsSemiMixedTypes="0" containsString="0" containsNumber="1" minValue="7.5" maxValue="13"/>
    </cacheField>
    <cacheField name="Burnout_Risk_Index" numFmtId="2">
      <sharedItems containsSemiMixedTypes="0" containsString="0" containsNumber="1" minValue="0.57692307692307687" maxValue="1.6666666666666667"/>
    </cacheField>
    <cacheField name="Work_Life_Ratio" numFmtId="2">
      <sharedItems containsSemiMixedTypes="0" containsString="0" containsNumber="1" minValue="0.75" maxValue="1.8181818181818181"/>
    </cacheField>
    <cacheField name="Productivity_Score" numFmtId="0">
      <sharedItems containsSemiMixedTypes="0" containsString="0" containsNumber="1" minValue="6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E001"/>
    <x v="0"/>
    <n v="9"/>
    <n v="11"/>
    <n v="0.81818181818181823"/>
    <n v="1.1428571428571428"/>
    <n v="7"/>
  </r>
  <r>
    <s v="E002"/>
    <x v="1"/>
    <n v="10.5"/>
    <n v="9.5"/>
    <n v="1.1052631578947369"/>
    <n v="1.3846153846153846"/>
    <n v="8"/>
  </r>
  <r>
    <s v="E003"/>
    <x v="2"/>
    <n v="12"/>
    <n v="8"/>
    <n v="1.5"/>
    <n v="1.6666666666666667"/>
    <n v="9"/>
  </r>
  <r>
    <s v="E004"/>
    <x v="3"/>
    <n v="10.5"/>
    <n v="8.5"/>
    <n v="1.2352941176470589"/>
    <n v="1.5833333333333333"/>
    <n v="8"/>
  </r>
  <r>
    <s v="E005"/>
    <x v="4"/>
    <n v="8.5"/>
    <n v="11"/>
    <n v="0.77272727272727271"/>
    <n v="1.1428571428571428"/>
    <n v="6"/>
  </r>
  <r>
    <s v="E006"/>
    <x v="0"/>
    <n v="9"/>
    <n v="10"/>
    <n v="0.9"/>
    <n v="1.0769230769230769"/>
    <n v="6"/>
  </r>
  <r>
    <s v="E007"/>
    <x v="1"/>
    <n v="8.5"/>
    <n v="11"/>
    <n v="0.77272727272727271"/>
    <n v="1.1428571428571428"/>
    <n v="8.5"/>
  </r>
  <r>
    <s v="E008"/>
    <x v="2"/>
    <n v="12"/>
    <n v="9"/>
    <n v="1.3333333333333333"/>
    <n v="1.3846153846153846"/>
    <n v="8.5"/>
  </r>
  <r>
    <s v="E009"/>
    <x v="3"/>
    <n v="9.5"/>
    <n v="9.5"/>
    <n v="1"/>
    <n v="1.2857142857142858"/>
    <n v="7.5"/>
  </r>
  <r>
    <s v="E010"/>
    <x v="4"/>
    <n v="8.5"/>
    <n v="10.5"/>
    <n v="0.80952380952380953"/>
    <n v="1"/>
    <n v="7.5"/>
  </r>
  <r>
    <s v="E011"/>
    <x v="0"/>
    <n v="7.5"/>
    <n v="12.5"/>
    <n v="0.6"/>
    <n v="0.875"/>
    <n v="7"/>
  </r>
  <r>
    <s v="E012"/>
    <x v="1"/>
    <n v="7.5"/>
    <n v="13"/>
    <n v="0.57692307692307687"/>
    <n v="0.75"/>
    <n v="8.5"/>
  </r>
  <r>
    <s v="E013"/>
    <x v="2"/>
    <n v="12.5"/>
    <n v="7.5"/>
    <n v="1.6666666666666667"/>
    <n v="1.6363636363636365"/>
    <n v="6.5"/>
  </r>
  <r>
    <s v="E014"/>
    <x v="3"/>
    <n v="10"/>
    <n v="10.5"/>
    <n v="0.95238095238095233"/>
    <n v="1.0666666666666667"/>
    <n v="8"/>
  </r>
  <r>
    <s v="E015"/>
    <x v="4"/>
    <n v="10"/>
    <n v="11"/>
    <n v="0.90909090909090906"/>
    <n v="1.5"/>
    <n v="7"/>
  </r>
  <r>
    <s v="E016"/>
    <x v="0"/>
    <n v="9"/>
    <n v="11"/>
    <n v="0.81818181818181823"/>
    <n v="1"/>
    <n v="7.5"/>
  </r>
  <r>
    <s v="E017"/>
    <x v="1"/>
    <n v="10.5"/>
    <n v="9.5"/>
    <n v="1.1052631578947369"/>
    <n v="1.3846153846153846"/>
    <n v="8"/>
  </r>
  <r>
    <s v="E018"/>
    <x v="2"/>
    <n v="10.5"/>
    <n v="10.5"/>
    <n v="1"/>
    <n v="1.3333333333333333"/>
    <n v="9"/>
  </r>
  <r>
    <s v="E019"/>
    <x v="3"/>
    <n v="11.5"/>
    <n v="8.5"/>
    <n v="1.3529411764705883"/>
    <n v="1.5"/>
    <n v="6.5"/>
  </r>
  <r>
    <s v="E020"/>
    <x v="4"/>
    <n v="10"/>
    <n v="11"/>
    <n v="0.90909090909090906"/>
    <n v="1.4166666666666667"/>
    <n v="7"/>
  </r>
  <r>
    <s v="E021"/>
    <x v="0"/>
    <n v="9"/>
    <n v="11"/>
    <n v="0.81818181818181823"/>
    <n v="1.1428571428571428"/>
    <n v="7"/>
  </r>
  <r>
    <s v="E022"/>
    <x v="1"/>
    <n v="10.5"/>
    <n v="9.5"/>
    <n v="1.1052631578947369"/>
    <n v="1.3846153846153846"/>
    <n v="8"/>
  </r>
  <r>
    <s v="E023"/>
    <x v="2"/>
    <n v="12"/>
    <n v="8"/>
    <n v="1.5"/>
    <n v="1.8181818181818181"/>
    <n v="7"/>
  </r>
  <r>
    <s v="E024"/>
    <x v="3"/>
    <n v="10.5"/>
    <n v="8.5"/>
    <n v="1.2352941176470589"/>
    <n v="1.5833333333333333"/>
    <n v="8"/>
  </r>
  <r>
    <s v="E025"/>
    <x v="4"/>
    <n v="8.5"/>
    <n v="11"/>
    <n v="0.77272727272727271"/>
    <n v="1.1428571428571428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3F002-4A9D-684C-94E9-D6D24E9F1727}" name="PivotTable1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C10" firstHeaderRow="0" firstDataRow="1" firstDataCol="1"/>
  <pivotFields count="7"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showAll="0"/>
    <pivotField dataField="1" numFmtId="2" showAll="0"/>
    <pivotField numFmtId="2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Burnout Risk" fld="4" subtotal="average" baseField="0" baseItem="0" numFmtId="2"/>
    <dataField name="Average Productivity" fld="6" subtotal="average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6808-E0F2-3346-A8EB-159C64D69B8D}">
  <dimension ref="A1:C8"/>
  <sheetViews>
    <sheetView zoomScale="182" workbookViewId="0">
      <selection activeCell="F6" sqref="F6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  <c r="B3" t="s">
        <v>3</v>
      </c>
    </row>
    <row r="5" spans="1:3" x14ac:dyDescent="0.2">
      <c r="A5" t="s">
        <v>4</v>
      </c>
    </row>
    <row r="6" spans="1:3" x14ac:dyDescent="0.2">
      <c r="B6" t="s">
        <v>5</v>
      </c>
    </row>
    <row r="7" spans="1:3" x14ac:dyDescent="0.2">
      <c r="B7" t="s">
        <v>6</v>
      </c>
    </row>
    <row r="8" spans="1:3" x14ac:dyDescent="0.2"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26D2-B60A-9446-A1B5-A275F54D2909}">
  <dimension ref="A1:G26"/>
  <sheetViews>
    <sheetView zoomScale="125" workbookViewId="0">
      <selection activeCell="F25" sqref="F25"/>
    </sheetView>
  </sheetViews>
  <sheetFormatPr baseColWidth="10" defaultRowHeight="16" x14ac:dyDescent="0.2"/>
  <cols>
    <col min="1" max="1" width="11.6640625" bestFit="1" customWidth="1"/>
    <col min="2" max="2" width="18.5" bestFit="1" customWidth="1"/>
    <col min="3" max="3" width="18.6640625" bestFit="1" customWidth="1"/>
    <col min="4" max="4" width="22.6640625" bestFit="1" customWidth="1"/>
    <col min="5" max="5" width="19" bestFit="1" customWidth="1"/>
    <col min="6" max="6" width="20.33203125" bestFit="1" customWidth="1"/>
    <col min="7" max="7" width="16.5" bestFit="1" customWidth="1"/>
  </cols>
  <sheetData>
    <row r="1" spans="1: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2">
      <c r="A2" t="s">
        <v>21</v>
      </c>
      <c r="B2" t="s">
        <v>16</v>
      </c>
      <c r="C2">
        <v>8</v>
      </c>
      <c r="D2">
        <v>1</v>
      </c>
      <c r="E2">
        <v>7</v>
      </c>
      <c r="F2">
        <v>4</v>
      </c>
      <c r="G2">
        <v>7</v>
      </c>
    </row>
    <row r="3" spans="1:7" x14ac:dyDescent="0.2">
      <c r="A3" t="s">
        <v>22</v>
      </c>
      <c r="B3" t="s">
        <v>17</v>
      </c>
      <c r="C3">
        <v>9</v>
      </c>
      <c r="D3">
        <v>1.5</v>
      </c>
      <c r="E3">
        <v>6.5</v>
      </c>
      <c r="F3">
        <v>3</v>
      </c>
      <c r="G3">
        <v>8</v>
      </c>
    </row>
    <row r="4" spans="1:7" x14ac:dyDescent="0.2">
      <c r="A4" t="s">
        <v>23</v>
      </c>
      <c r="B4" t="s">
        <v>18</v>
      </c>
      <c r="C4">
        <v>10</v>
      </c>
      <c r="D4">
        <v>2</v>
      </c>
      <c r="E4">
        <v>6</v>
      </c>
      <c r="F4">
        <v>2</v>
      </c>
      <c r="G4">
        <v>9</v>
      </c>
    </row>
    <row r="5" spans="1:7" x14ac:dyDescent="0.2">
      <c r="A5" t="s">
        <v>24</v>
      </c>
      <c r="B5" t="s">
        <v>19</v>
      </c>
      <c r="C5">
        <v>9.5</v>
      </c>
      <c r="D5">
        <v>1</v>
      </c>
      <c r="E5">
        <v>6</v>
      </c>
      <c r="F5">
        <v>2.5</v>
      </c>
      <c r="G5">
        <v>8</v>
      </c>
    </row>
    <row r="6" spans="1:7" x14ac:dyDescent="0.2">
      <c r="A6" t="s">
        <v>25</v>
      </c>
      <c r="B6" t="s">
        <v>20</v>
      </c>
      <c r="C6">
        <v>8</v>
      </c>
      <c r="D6">
        <v>0.5</v>
      </c>
      <c r="E6">
        <v>7</v>
      </c>
      <c r="F6">
        <v>4</v>
      </c>
      <c r="G6">
        <v>6</v>
      </c>
    </row>
    <row r="7" spans="1:7" x14ac:dyDescent="0.2">
      <c r="A7" t="s">
        <v>26</v>
      </c>
      <c r="B7" t="s">
        <v>16</v>
      </c>
      <c r="C7">
        <v>7</v>
      </c>
      <c r="D7">
        <v>2</v>
      </c>
      <c r="E7">
        <v>6.5</v>
      </c>
      <c r="F7">
        <v>3.5</v>
      </c>
      <c r="G7">
        <v>6</v>
      </c>
    </row>
    <row r="8" spans="1:7" x14ac:dyDescent="0.2">
      <c r="A8" t="s">
        <v>27</v>
      </c>
      <c r="B8" t="s">
        <v>17</v>
      </c>
      <c r="C8">
        <v>8</v>
      </c>
      <c r="D8">
        <v>0.5</v>
      </c>
      <c r="E8">
        <v>7</v>
      </c>
      <c r="F8">
        <v>4</v>
      </c>
      <c r="G8">
        <v>8.5</v>
      </c>
    </row>
    <row r="9" spans="1:7" x14ac:dyDescent="0.2">
      <c r="A9" t="s">
        <v>28</v>
      </c>
      <c r="B9" t="s">
        <v>18</v>
      </c>
      <c r="C9">
        <v>9</v>
      </c>
      <c r="D9">
        <v>3</v>
      </c>
      <c r="E9">
        <v>6.5</v>
      </c>
      <c r="F9">
        <v>2.5</v>
      </c>
      <c r="G9">
        <v>8.5</v>
      </c>
    </row>
    <row r="10" spans="1:7" x14ac:dyDescent="0.2">
      <c r="A10" t="s">
        <v>29</v>
      </c>
      <c r="B10" t="s">
        <v>19</v>
      </c>
      <c r="C10">
        <v>9</v>
      </c>
      <c r="D10">
        <v>0.5</v>
      </c>
      <c r="E10">
        <v>7</v>
      </c>
      <c r="F10">
        <v>2.5</v>
      </c>
      <c r="G10">
        <v>7.5</v>
      </c>
    </row>
    <row r="11" spans="1:7" x14ac:dyDescent="0.2">
      <c r="A11" t="s">
        <v>30</v>
      </c>
      <c r="B11" t="s">
        <v>20</v>
      </c>
      <c r="C11">
        <v>7.5</v>
      </c>
      <c r="D11">
        <v>1</v>
      </c>
      <c r="E11">
        <v>7.5</v>
      </c>
      <c r="F11">
        <v>3</v>
      </c>
      <c r="G11">
        <v>7.5</v>
      </c>
    </row>
    <row r="12" spans="1:7" x14ac:dyDescent="0.2">
      <c r="A12" t="s">
        <v>31</v>
      </c>
      <c r="B12" t="s">
        <v>16</v>
      </c>
      <c r="C12">
        <v>7</v>
      </c>
      <c r="D12">
        <v>0.5</v>
      </c>
      <c r="E12">
        <v>8</v>
      </c>
      <c r="F12">
        <v>4.5</v>
      </c>
      <c r="G12">
        <v>7</v>
      </c>
    </row>
    <row r="13" spans="1:7" x14ac:dyDescent="0.2">
      <c r="A13" t="s">
        <v>32</v>
      </c>
      <c r="B13" t="s">
        <v>17</v>
      </c>
      <c r="C13">
        <v>6</v>
      </c>
      <c r="D13">
        <v>1.5</v>
      </c>
      <c r="E13">
        <v>8</v>
      </c>
      <c r="F13">
        <v>5</v>
      </c>
      <c r="G13">
        <v>8.5</v>
      </c>
    </row>
    <row r="14" spans="1:7" x14ac:dyDescent="0.2">
      <c r="A14" t="s">
        <v>33</v>
      </c>
      <c r="B14" t="s">
        <v>18</v>
      </c>
      <c r="C14">
        <v>9</v>
      </c>
      <c r="D14">
        <v>3.5</v>
      </c>
      <c r="E14">
        <v>5.5</v>
      </c>
      <c r="F14">
        <v>2</v>
      </c>
      <c r="G14">
        <v>6.5</v>
      </c>
    </row>
    <row r="15" spans="1:7" x14ac:dyDescent="0.2">
      <c r="A15" t="s">
        <v>34</v>
      </c>
      <c r="B15" t="s">
        <v>19</v>
      </c>
      <c r="C15">
        <v>8</v>
      </c>
      <c r="D15">
        <v>2</v>
      </c>
      <c r="E15">
        <v>7.5</v>
      </c>
      <c r="F15">
        <v>3</v>
      </c>
      <c r="G15">
        <v>8</v>
      </c>
    </row>
    <row r="16" spans="1:7" x14ac:dyDescent="0.2">
      <c r="A16" t="s">
        <v>35</v>
      </c>
      <c r="B16" t="s">
        <v>20</v>
      </c>
      <c r="C16">
        <v>9</v>
      </c>
      <c r="D16">
        <v>1</v>
      </c>
      <c r="E16">
        <v>6</v>
      </c>
      <c r="F16">
        <v>5</v>
      </c>
      <c r="G16">
        <v>7</v>
      </c>
    </row>
    <row r="17" spans="1:7" x14ac:dyDescent="0.2">
      <c r="A17" t="s">
        <v>36</v>
      </c>
      <c r="B17" t="s">
        <v>16</v>
      </c>
      <c r="C17">
        <v>7</v>
      </c>
      <c r="D17">
        <v>2</v>
      </c>
      <c r="E17">
        <v>7</v>
      </c>
      <c r="F17">
        <v>4</v>
      </c>
      <c r="G17">
        <v>7.5</v>
      </c>
    </row>
    <row r="18" spans="1:7" x14ac:dyDescent="0.2">
      <c r="A18" t="s">
        <v>37</v>
      </c>
      <c r="B18" t="s">
        <v>17</v>
      </c>
      <c r="C18">
        <v>9</v>
      </c>
      <c r="D18">
        <v>1.5</v>
      </c>
      <c r="E18">
        <v>6.5</v>
      </c>
      <c r="F18">
        <v>3</v>
      </c>
      <c r="G18">
        <v>8</v>
      </c>
    </row>
    <row r="19" spans="1:7" x14ac:dyDescent="0.2">
      <c r="A19" t="s">
        <v>38</v>
      </c>
      <c r="B19" t="s">
        <v>18</v>
      </c>
      <c r="C19">
        <v>10</v>
      </c>
      <c r="D19">
        <v>0.5</v>
      </c>
      <c r="E19">
        <v>7.5</v>
      </c>
      <c r="F19">
        <v>3</v>
      </c>
      <c r="G19">
        <v>9</v>
      </c>
    </row>
    <row r="20" spans="1:7" x14ac:dyDescent="0.2">
      <c r="A20" t="s">
        <v>39</v>
      </c>
      <c r="B20" t="s">
        <v>19</v>
      </c>
      <c r="C20">
        <v>9</v>
      </c>
      <c r="D20">
        <v>2.5</v>
      </c>
      <c r="E20">
        <v>6</v>
      </c>
      <c r="F20">
        <v>2.5</v>
      </c>
      <c r="G20">
        <v>6.5</v>
      </c>
    </row>
    <row r="21" spans="1:7" x14ac:dyDescent="0.2">
      <c r="A21" t="s">
        <v>40</v>
      </c>
      <c r="B21" t="s">
        <v>20</v>
      </c>
      <c r="C21">
        <v>8.5</v>
      </c>
      <c r="D21">
        <v>1.5</v>
      </c>
      <c r="E21">
        <v>6</v>
      </c>
      <c r="F21">
        <v>5</v>
      </c>
      <c r="G21">
        <v>7</v>
      </c>
    </row>
    <row r="22" spans="1:7" x14ac:dyDescent="0.2">
      <c r="A22" t="s">
        <v>41</v>
      </c>
      <c r="B22" t="s">
        <v>16</v>
      </c>
      <c r="C22">
        <v>8</v>
      </c>
      <c r="D22">
        <v>1</v>
      </c>
      <c r="E22">
        <v>7</v>
      </c>
      <c r="F22">
        <v>4</v>
      </c>
      <c r="G22">
        <v>7</v>
      </c>
    </row>
    <row r="23" spans="1:7" x14ac:dyDescent="0.2">
      <c r="A23" t="s">
        <v>42</v>
      </c>
      <c r="B23" t="s">
        <v>17</v>
      </c>
      <c r="C23">
        <v>9</v>
      </c>
      <c r="D23">
        <v>1.5</v>
      </c>
      <c r="E23">
        <v>6.5</v>
      </c>
      <c r="F23">
        <v>3</v>
      </c>
      <c r="G23">
        <v>8</v>
      </c>
    </row>
    <row r="24" spans="1:7" x14ac:dyDescent="0.2">
      <c r="A24" t="s">
        <v>43</v>
      </c>
      <c r="B24" t="s">
        <v>18</v>
      </c>
      <c r="C24">
        <v>10</v>
      </c>
      <c r="D24">
        <v>2</v>
      </c>
      <c r="E24">
        <v>5.5</v>
      </c>
      <c r="F24">
        <v>2.5</v>
      </c>
      <c r="G24">
        <v>7</v>
      </c>
    </row>
    <row r="25" spans="1:7" x14ac:dyDescent="0.2">
      <c r="A25" t="s">
        <v>44</v>
      </c>
      <c r="B25" t="s">
        <v>19</v>
      </c>
      <c r="C25">
        <v>9.5</v>
      </c>
      <c r="D25">
        <v>1</v>
      </c>
      <c r="E25">
        <v>6</v>
      </c>
      <c r="F25">
        <v>2.5</v>
      </c>
      <c r="G25">
        <v>8</v>
      </c>
    </row>
    <row r="26" spans="1:7" x14ac:dyDescent="0.2">
      <c r="A26" t="s">
        <v>45</v>
      </c>
      <c r="B26" t="s">
        <v>20</v>
      </c>
      <c r="C26">
        <v>8</v>
      </c>
      <c r="D26">
        <v>0.5</v>
      </c>
      <c r="E26">
        <v>7</v>
      </c>
      <c r="F26">
        <v>4</v>
      </c>
      <c r="G26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489C-2931-FE47-866E-FB4D64964918}">
  <dimension ref="A1:G26"/>
  <sheetViews>
    <sheetView zoomScale="175" workbookViewId="0"/>
  </sheetViews>
  <sheetFormatPr baseColWidth="10" defaultRowHeight="16" x14ac:dyDescent="0.2"/>
  <cols>
    <col min="2" max="2" width="18.5" bestFit="1" customWidth="1"/>
    <col min="3" max="3" width="19" bestFit="1" customWidth="1"/>
    <col min="4" max="4" width="10.83203125" bestFit="1" customWidth="1"/>
    <col min="5" max="5" width="17.1640625" bestFit="1" customWidth="1"/>
    <col min="6" max="6" width="14.1640625" bestFit="1" customWidth="1"/>
    <col min="7" max="7" width="16.6640625" bestFit="1" customWidth="1"/>
  </cols>
  <sheetData>
    <row r="1" spans="1:7" x14ac:dyDescent="0.2">
      <c r="A1" s="2" t="s">
        <v>46</v>
      </c>
      <c r="B1" s="2" t="s">
        <v>10</v>
      </c>
      <c r="C1" s="2" t="s">
        <v>47</v>
      </c>
      <c r="D1" s="2" t="s">
        <v>48</v>
      </c>
      <c r="E1" s="2" t="s">
        <v>49</v>
      </c>
      <c r="F1" s="2" t="s">
        <v>50</v>
      </c>
      <c r="G1" s="6" t="s">
        <v>15</v>
      </c>
    </row>
    <row r="2" spans="1:7" x14ac:dyDescent="0.2">
      <c r="A2" t="str">
        <f>Raw_Data!A2</f>
        <v>E001</v>
      </c>
      <c r="B2" t="str">
        <f>Raw_Data!B2</f>
        <v>Data Analyst</v>
      </c>
      <c r="C2">
        <f>Raw_Data!C2+ Raw_Data!D2</f>
        <v>9</v>
      </c>
      <c r="D2">
        <f>Raw_Data!E2+ Raw_Data!F2</f>
        <v>11</v>
      </c>
      <c r="E2" s="3">
        <f>C2/D2</f>
        <v>0.81818181818181823</v>
      </c>
      <c r="F2" s="3">
        <f>Raw_Data!C2/Raw_Data!E2</f>
        <v>1.1428571428571428</v>
      </c>
      <c r="G2">
        <f>Raw_Data!G2</f>
        <v>7</v>
      </c>
    </row>
    <row r="3" spans="1:7" x14ac:dyDescent="0.2">
      <c r="A3" t="str">
        <f>Raw_Data!A3</f>
        <v>E002</v>
      </c>
      <c r="B3" t="str">
        <f>Raw_Data!B3</f>
        <v>Business Analyst</v>
      </c>
      <c r="C3">
        <f>Raw_Data!C3+ Raw_Data!D3</f>
        <v>10.5</v>
      </c>
      <c r="D3">
        <f>Raw_Data!E3+ Raw_Data!F3</f>
        <v>9.5</v>
      </c>
      <c r="E3" s="3">
        <f t="shared" ref="E3:E7" si="0">C3/D3</f>
        <v>1.1052631578947369</v>
      </c>
      <c r="F3" s="3">
        <f>Raw_Data!C3/Raw_Data!E3</f>
        <v>1.3846153846153846</v>
      </c>
      <c r="G3">
        <f>Raw_Data!G3</f>
        <v>8</v>
      </c>
    </row>
    <row r="4" spans="1:7" x14ac:dyDescent="0.2">
      <c r="A4" t="str">
        <f>Raw_Data!A4</f>
        <v>E003</v>
      </c>
      <c r="B4" t="str">
        <f>Raw_Data!B4</f>
        <v>Software Engineer</v>
      </c>
      <c r="C4">
        <f>Raw_Data!C4+ Raw_Data!D4</f>
        <v>12</v>
      </c>
      <c r="D4">
        <f>Raw_Data!E4+ Raw_Data!F4</f>
        <v>8</v>
      </c>
      <c r="E4" s="3">
        <f t="shared" si="0"/>
        <v>1.5</v>
      </c>
      <c r="F4" s="3">
        <f>Raw_Data!C4/Raw_Data!E4</f>
        <v>1.6666666666666667</v>
      </c>
      <c r="G4">
        <f>Raw_Data!G4</f>
        <v>9</v>
      </c>
    </row>
    <row r="5" spans="1:7" x14ac:dyDescent="0.2">
      <c r="A5" t="str">
        <f>Raw_Data!A5</f>
        <v>E004</v>
      </c>
      <c r="B5" t="str">
        <f>Raw_Data!B5</f>
        <v>Consultant</v>
      </c>
      <c r="C5">
        <f>Raw_Data!C5+ Raw_Data!D5</f>
        <v>10.5</v>
      </c>
      <c r="D5">
        <f>Raw_Data!E5+ Raw_Data!F5</f>
        <v>8.5</v>
      </c>
      <c r="E5" s="3">
        <f t="shared" si="0"/>
        <v>1.2352941176470589</v>
      </c>
      <c r="F5" s="3">
        <f>Raw_Data!C5/Raw_Data!E5</f>
        <v>1.5833333333333333</v>
      </c>
      <c r="G5">
        <f>Raw_Data!G5</f>
        <v>8</v>
      </c>
    </row>
    <row r="6" spans="1:7" x14ac:dyDescent="0.2">
      <c r="A6" t="str">
        <f>Raw_Data!A6</f>
        <v>E005</v>
      </c>
      <c r="B6" t="str">
        <f>Raw_Data!B6</f>
        <v>Operations Executive</v>
      </c>
      <c r="C6">
        <f>Raw_Data!C6+ Raw_Data!D6</f>
        <v>8.5</v>
      </c>
      <c r="D6">
        <f>Raw_Data!E6+ Raw_Data!F6</f>
        <v>11</v>
      </c>
      <c r="E6" s="3">
        <f t="shared" si="0"/>
        <v>0.77272727272727271</v>
      </c>
      <c r="F6" s="3">
        <f>Raw_Data!C6/Raw_Data!E6</f>
        <v>1.1428571428571428</v>
      </c>
      <c r="G6">
        <f>Raw_Data!G6</f>
        <v>6</v>
      </c>
    </row>
    <row r="7" spans="1:7" x14ac:dyDescent="0.2">
      <c r="A7" t="str">
        <f>Raw_Data!A7</f>
        <v>E006</v>
      </c>
      <c r="B7" t="str">
        <f>Raw_Data!B7</f>
        <v>Data Analyst</v>
      </c>
      <c r="C7">
        <f>Raw_Data!C7+ Raw_Data!D7</f>
        <v>9</v>
      </c>
      <c r="D7">
        <f>Raw_Data!E7+ Raw_Data!F7</f>
        <v>10</v>
      </c>
      <c r="E7" s="3">
        <f t="shared" si="0"/>
        <v>0.9</v>
      </c>
      <c r="F7" s="3">
        <f>Raw_Data!C7/Raw_Data!E7</f>
        <v>1.0769230769230769</v>
      </c>
      <c r="G7">
        <f>Raw_Data!G7</f>
        <v>6</v>
      </c>
    </row>
    <row r="8" spans="1:7" x14ac:dyDescent="0.2">
      <c r="A8" t="str">
        <f>Raw_Data!A8</f>
        <v>E007</v>
      </c>
      <c r="B8" t="str">
        <f>Raw_Data!B8</f>
        <v>Business Analyst</v>
      </c>
      <c r="C8">
        <f>Raw_Data!C8+ Raw_Data!D8</f>
        <v>8.5</v>
      </c>
      <c r="D8">
        <f>Raw_Data!E8+ Raw_Data!F8</f>
        <v>11</v>
      </c>
      <c r="E8" s="3">
        <f t="shared" ref="E8:E19" si="1">C8/D8</f>
        <v>0.77272727272727271</v>
      </c>
      <c r="F8" s="3">
        <f>Raw_Data!C8/Raw_Data!E8</f>
        <v>1.1428571428571428</v>
      </c>
      <c r="G8">
        <f>Raw_Data!G8</f>
        <v>8.5</v>
      </c>
    </row>
    <row r="9" spans="1:7" x14ac:dyDescent="0.2">
      <c r="A9" t="str">
        <f>Raw_Data!A9</f>
        <v>E008</v>
      </c>
      <c r="B9" t="str">
        <f>Raw_Data!B9</f>
        <v>Software Engineer</v>
      </c>
      <c r="C9">
        <f>Raw_Data!C9+ Raw_Data!D9</f>
        <v>12</v>
      </c>
      <c r="D9">
        <f>Raw_Data!E9+ Raw_Data!F9</f>
        <v>9</v>
      </c>
      <c r="E9" s="3">
        <f t="shared" si="1"/>
        <v>1.3333333333333333</v>
      </c>
      <c r="F9" s="3">
        <f>Raw_Data!C9/Raw_Data!E9</f>
        <v>1.3846153846153846</v>
      </c>
      <c r="G9">
        <f>Raw_Data!G9</f>
        <v>8.5</v>
      </c>
    </row>
    <row r="10" spans="1:7" x14ac:dyDescent="0.2">
      <c r="A10" t="str">
        <f>Raw_Data!A10</f>
        <v>E009</v>
      </c>
      <c r="B10" t="str">
        <f>Raw_Data!B10</f>
        <v>Consultant</v>
      </c>
      <c r="C10">
        <f>Raw_Data!C10+ Raw_Data!D10</f>
        <v>9.5</v>
      </c>
      <c r="D10">
        <f>Raw_Data!E10+ Raw_Data!F10</f>
        <v>9.5</v>
      </c>
      <c r="E10" s="3">
        <f t="shared" si="1"/>
        <v>1</v>
      </c>
      <c r="F10" s="3">
        <f>Raw_Data!C10/Raw_Data!E10</f>
        <v>1.2857142857142858</v>
      </c>
      <c r="G10">
        <f>Raw_Data!G10</f>
        <v>7.5</v>
      </c>
    </row>
    <row r="11" spans="1:7" x14ac:dyDescent="0.2">
      <c r="A11" t="str">
        <f>Raw_Data!A11</f>
        <v>E010</v>
      </c>
      <c r="B11" t="str">
        <f>Raw_Data!B11</f>
        <v>Operations Executive</v>
      </c>
      <c r="C11">
        <f>Raw_Data!C11+ Raw_Data!D11</f>
        <v>8.5</v>
      </c>
      <c r="D11">
        <f>Raw_Data!E11+ Raw_Data!F11</f>
        <v>10.5</v>
      </c>
      <c r="E11" s="3">
        <f t="shared" si="1"/>
        <v>0.80952380952380953</v>
      </c>
      <c r="F11" s="3">
        <f>Raw_Data!C11/Raw_Data!E11</f>
        <v>1</v>
      </c>
      <c r="G11">
        <f>Raw_Data!G11</f>
        <v>7.5</v>
      </c>
    </row>
    <row r="12" spans="1:7" x14ac:dyDescent="0.2">
      <c r="A12" t="str">
        <f>Raw_Data!A12</f>
        <v>E011</v>
      </c>
      <c r="B12" t="str">
        <f>Raw_Data!B12</f>
        <v>Data Analyst</v>
      </c>
      <c r="C12">
        <f>Raw_Data!C12+ Raw_Data!D12</f>
        <v>7.5</v>
      </c>
      <c r="D12">
        <f>Raw_Data!E12+ Raw_Data!F12</f>
        <v>12.5</v>
      </c>
      <c r="E12" s="3">
        <f t="shared" si="1"/>
        <v>0.6</v>
      </c>
      <c r="F12" s="3">
        <f>Raw_Data!C12/Raw_Data!E12</f>
        <v>0.875</v>
      </c>
      <c r="G12">
        <f>Raw_Data!G12</f>
        <v>7</v>
      </c>
    </row>
    <row r="13" spans="1:7" x14ac:dyDescent="0.2">
      <c r="A13" t="str">
        <f>Raw_Data!A13</f>
        <v>E012</v>
      </c>
      <c r="B13" t="str">
        <f>Raw_Data!B13</f>
        <v>Business Analyst</v>
      </c>
      <c r="C13">
        <f>Raw_Data!C13+ Raw_Data!D13</f>
        <v>7.5</v>
      </c>
      <c r="D13">
        <f>Raw_Data!E13+ Raw_Data!F13</f>
        <v>13</v>
      </c>
      <c r="E13" s="3">
        <f t="shared" si="1"/>
        <v>0.57692307692307687</v>
      </c>
      <c r="F13" s="3">
        <f>Raw_Data!C13/Raw_Data!E13</f>
        <v>0.75</v>
      </c>
      <c r="G13">
        <f>Raw_Data!G13</f>
        <v>8.5</v>
      </c>
    </row>
    <row r="14" spans="1:7" x14ac:dyDescent="0.2">
      <c r="A14" t="str">
        <f>Raw_Data!A14</f>
        <v>E013</v>
      </c>
      <c r="B14" t="str">
        <f>Raw_Data!B14</f>
        <v>Software Engineer</v>
      </c>
      <c r="C14">
        <f>Raw_Data!C14+ Raw_Data!D14</f>
        <v>12.5</v>
      </c>
      <c r="D14">
        <f>Raw_Data!E14+ Raw_Data!F14</f>
        <v>7.5</v>
      </c>
      <c r="E14" s="3">
        <f t="shared" si="1"/>
        <v>1.6666666666666667</v>
      </c>
      <c r="F14" s="3">
        <f>Raw_Data!C14/Raw_Data!E14</f>
        <v>1.6363636363636365</v>
      </c>
      <c r="G14">
        <f>Raw_Data!G14</f>
        <v>6.5</v>
      </c>
    </row>
    <row r="15" spans="1:7" x14ac:dyDescent="0.2">
      <c r="A15" t="str">
        <f>Raw_Data!A15</f>
        <v>E014</v>
      </c>
      <c r="B15" t="str">
        <f>Raw_Data!B15</f>
        <v>Consultant</v>
      </c>
      <c r="C15">
        <f>Raw_Data!C15+ Raw_Data!D15</f>
        <v>10</v>
      </c>
      <c r="D15">
        <f>Raw_Data!E15+ Raw_Data!F15</f>
        <v>10.5</v>
      </c>
      <c r="E15" s="3">
        <f t="shared" si="1"/>
        <v>0.95238095238095233</v>
      </c>
      <c r="F15" s="3">
        <f>Raw_Data!C15/Raw_Data!E15</f>
        <v>1.0666666666666667</v>
      </c>
      <c r="G15">
        <f>Raw_Data!G15</f>
        <v>8</v>
      </c>
    </row>
    <row r="16" spans="1:7" x14ac:dyDescent="0.2">
      <c r="A16" t="str">
        <f>Raw_Data!A16</f>
        <v>E015</v>
      </c>
      <c r="B16" t="str">
        <f>Raw_Data!B16</f>
        <v>Operations Executive</v>
      </c>
      <c r="C16">
        <f>Raw_Data!C16+ Raw_Data!D16</f>
        <v>10</v>
      </c>
      <c r="D16">
        <f>Raw_Data!E16+ Raw_Data!F16</f>
        <v>11</v>
      </c>
      <c r="E16" s="3">
        <f t="shared" si="1"/>
        <v>0.90909090909090906</v>
      </c>
      <c r="F16" s="3">
        <f>Raw_Data!C16/Raw_Data!E16</f>
        <v>1.5</v>
      </c>
      <c r="G16">
        <f>Raw_Data!G16</f>
        <v>7</v>
      </c>
    </row>
    <row r="17" spans="1:7" x14ac:dyDescent="0.2">
      <c r="A17" t="str">
        <f>Raw_Data!A17</f>
        <v>E016</v>
      </c>
      <c r="B17" t="str">
        <f>Raw_Data!B17</f>
        <v>Data Analyst</v>
      </c>
      <c r="C17">
        <f>Raw_Data!C17+ Raw_Data!D17</f>
        <v>9</v>
      </c>
      <c r="D17">
        <f>Raw_Data!E17+ Raw_Data!F17</f>
        <v>11</v>
      </c>
      <c r="E17" s="3">
        <f t="shared" si="1"/>
        <v>0.81818181818181823</v>
      </c>
      <c r="F17" s="3">
        <f>Raw_Data!C17/Raw_Data!E17</f>
        <v>1</v>
      </c>
      <c r="G17">
        <f>Raw_Data!G17</f>
        <v>7.5</v>
      </c>
    </row>
    <row r="18" spans="1:7" x14ac:dyDescent="0.2">
      <c r="A18" t="str">
        <f>Raw_Data!A18</f>
        <v>E017</v>
      </c>
      <c r="B18" t="str">
        <f>Raw_Data!B18</f>
        <v>Business Analyst</v>
      </c>
      <c r="C18">
        <f>Raw_Data!C18+ Raw_Data!D18</f>
        <v>10.5</v>
      </c>
      <c r="D18">
        <f>Raw_Data!E18+ Raw_Data!F18</f>
        <v>9.5</v>
      </c>
      <c r="E18" s="3">
        <f t="shared" si="1"/>
        <v>1.1052631578947369</v>
      </c>
      <c r="F18" s="3">
        <f>Raw_Data!C18/Raw_Data!E18</f>
        <v>1.3846153846153846</v>
      </c>
      <c r="G18">
        <f>Raw_Data!G18</f>
        <v>8</v>
      </c>
    </row>
    <row r="19" spans="1:7" x14ac:dyDescent="0.2">
      <c r="A19" t="str">
        <f>Raw_Data!A19</f>
        <v>E018</v>
      </c>
      <c r="B19" t="str">
        <f>Raw_Data!B19</f>
        <v>Software Engineer</v>
      </c>
      <c r="C19">
        <f>Raw_Data!C19+ Raw_Data!D19</f>
        <v>10.5</v>
      </c>
      <c r="D19">
        <f>Raw_Data!E19+ Raw_Data!F19</f>
        <v>10.5</v>
      </c>
      <c r="E19" s="3">
        <f t="shared" si="1"/>
        <v>1</v>
      </c>
      <c r="F19" s="3">
        <f>Raw_Data!C19/Raw_Data!E19</f>
        <v>1.3333333333333333</v>
      </c>
      <c r="G19">
        <f>Raw_Data!G19</f>
        <v>9</v>
      </c>
    </row>
    <row r="20" spans="1:7" x14ac:dyDescent="0.2">
      <c r="A20" t="str">
        <f>Raw_Data!A20</f>
        <v>E019</v>
      </c>
      <c r="B20" t="str">
        <f>Raw_Data!B20</f>
        <v>Consultant</v>
      </c>
      <c r="C20">
        <f>Raw_Data!C20+ Raw_Data!D20</f>
        <v>11.5</v>
      </c>
      <c r="D20">
        <f>Raw_Data!E20+ Raw_Data!F20</f>
        <v>8.5</v>
      </c>
      <c r="E20" s="3">
        <f>C20/D20</f>
        <v>1.3529411764705883</v>
      </c>
      <c r="F20" s="3">
        <f>Raw_Data!C20/Raw_Data!E20</f>
        <v>1.5</v>
      </c>
      <c r="G20">
        <f>Raw_Data!G20</f>
        <v>6.5</v>
      </c>
    </row>
    <row r="21" spans="1:7" x14ac:dyDescent="0.2">
      <c r="A21" t="str">
        <f>Raw_Data!A21</f>
        <v>E020</v>
      </c>
      <c r="B21" t="str">
        <f>Raw_Data!B21</f>
        <v>Operations Executive</v>
      </c>
      <c r="C21">
        <f>Raw_Data!C21+ Raw_Data!D21</f>
        <v>10</v>
      </c>
      <c r="D21">
        <f>Raw_Data!E21+ Raw_Data!F21</f>
        <v>11</v>
      </c>
      <c r="E21" s="3">
        <f t="shared" ref="E21:E26" si="2">C21/D21</f>
        <v>0.90909090909090906</v>
      </c>
      <c r="F21" s="3">
        <f>Raw_Data!C21/Raw_Data!E21</f>
        <v>1.4166666666666667</v>
      </c>
      <c r="G21">
        <f>Raw_Data!G21</f>
        <v>7</v>
      </c>
    </row>
    <row r="22" spans="1:7" x14ac:dyDescent="0.2">
      <c r="A22" t="str">
        <f>Raw_Data!A22</f>
        <v>E021</v>
      </c>
      <c r="B22" t="str">
        <f>Raw_Data!B22</f>
        <v>Data Analyst</v>
      </c>
      <c r="C22">
        <f>Raw_Data!C22+ Raw_Data!D22</f>
        <v>9</v>
      </c>
      <c r="D22">
        <f>Raw_Data!E22+ Raw_Data!F22</f>
        <v>11</v>
      </c>
      <c r="E22" s="3">
        <f t="shared" si="2"/>
        <v>0.81818181818181823</v>
      </c>
      <c r="F22" s="3">
        <f>Raw_Data!C22/Raw_Data!E22</f>
        <v>1.1428571428571428</v>
      </c>
      <c r="G22">
        <f>Raw_Data!G22</f>
        <v>7</v>
      </c>
    </row>
    <row r="23" spans="1:7" x14ac:dyDescent="0.2">
      <c r="A23" t="str">
        <f>Raw_Data!A23</f>
        <v>E022</v>
      </c>
      <c r="B23" t="str">
        <f>Raw_Data!B23</f>
        <v>Business Analyst</v>
      </c>
      <c r="C23">
        <f>Raw_Data!C23+ Raw_Data!D23</f>
        <v>10.5</v>
      </c>
      <c r="D23">
        <f>Raw_Data!E23+ Raw_Data!F23</f>
        <v>9.5</v>
      </c>
      <c r="E23" s="3">
        <f t="shared" si="2"/>
        <v>1.1052631578947369</v>
      </c>
      <c r="F23" s="3">
        <f>Raw_Data!C23/Raw_Data!E23</f>
        <v>1.3846153846153846</v>
      </c>
      <c r="G23">
        <f>Raw_Data!G23</f>
        <v>8</v>
      </c>
    </row>
    <row r="24" spans="1:7" x14ac:dyDescent="0.2">
      <c r="A24" t="str">
        <f>Raw_Data!A24</f>
        <v>E023</v>
      </c>
      <c r="B24" t="str">
        <f>Raw_Data!B24</f>
        <v>Software Engineer</v>
      </c>
      <c r="C24">
        <f>Raw_Data!C24+ Raw_Data!D24</f>
        <v>12</v>
      </c>
      <c r="D24">
        <f>Raw_Data!E24+ Raw_Data!F24</f>
        <v>8</v>
      </c>
      <c r="E24" s="3">
        <f t="shared" si="2"/>
        <v>1.5</v>
      </c>
      <c r="F24" s="3">
        <f>Raw_Data!C24/Raw_Data!E24</f>
        <v>1.8181818181818181</v>
      </c>
      <c r="G24">
        <f>Raw_Data!G24</f>
        <v>7</v>
      </c>
    </row>
    <row r="25" spans="1:7" x14ac:dyDescent="0.2">
      <c r="A25" t="str">
        <f>Raw_Data!A25</f>
        <v>E024</v>
      </c>
      <c r="B25" t="str">
        <f>Raw_Data!B25</f>
        <v>Consultant</v>
      </c>
      <c r="C25">
        <f>Raw_Data!C25+ Raw_Data!D25</f>
        <v>10.5</v>
      </c>
      <c r="D25">
        <f>Raw_Data!E25+ Raw_Data!F25</f>
        <v>8.5</v>
      </c>
      <c r="E25" s="3">
        <f t="shared" si="2"/>
        <v>1.2352941176470589</v>
      </c>
      <c r="F25" s="3">
        <f>Raw_Data!C25/Raw_Data!E25</f>
        <v>1.5833333333333333</v>
      </c>
      <c r="G25">
        <f>Raw_Data!G25</f>
        <v>8</v>
      </c>
    </row>
    <row r="26" spans="1:7" x14ac:dyDescent="0.2">
      <c r="A26" t="str">
        <f>Raw_Data!A26</f>
        <v>E025</v>
      </c>
      <c r="B26" t="str">
        <f>Raw_Data!B26</f>
        <v>Operations Executive</v>
      </c>
      <c r="C26">
        <f>Raw_Data!C26+ Raw_Data!D26</f>
        <v>8.5</v>
      </c>
      <c r="D26">
        <f>Raw_Data!E26+ Raw_Data!F26</f>
        <v>11</v>
      </c>
      <c r="E26" s="3">
        <f t="shared" si="2"/>
        <v>0.77272727272727271</v>
      </c>
      <c r="F26" s="3">
        <f>Raw_Data!C26/Raw_Data!E26</f>
        <v>1.1428571428571428</v>
      </c>
      <c r="G26">
        <f>Raw_Data!G26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EA50-48F1-6547-B21C-33F3EB981AA8}">
  <dimension ref="A4:C10"/>
  <sheetViews>
    <sheetView topLeftCell="A4" zoomScale="159" workbookViewId="0">
      <selection activeCell="H4" sqref="H4"/>
    </sheetView>
  </sheetViews>
  <sheetFormatPr baseColWidth="10" defaultRowHeight="16" x14ac:dyDescent="0.2"/>
  <cols>
    <col min="1" max="1" width="18.5" bestFit="1" customWidth="1"/>
    <col min="2" max="2" width="18.83203125" bestFit="1" customWidth="1"/>
    <col min="3" max="3" width="18.1640625" bestFit="1" customWidth="1"/>
  </cols>
  <sheetData>
    <row r="4" spans="1:3" x14ac:dyDescent="0.2">
      <c r="A4" s="4" t="s">
        <v>51</v>
      </c>
      <c r="B4" t="s">
        <v>53</v>
      </c>
      <c r="C4" t="s">
        <v>54</v>
      </c>
    </row>
    <row r="5" spans="1:3" x14ac:dyDescent="0.2">
      <c r="A5" s="5" t="s">
        <v>17</v>
      </c>
      <c r="B5" s="3">
        <v>0.93308796466691213</v>
      </c>
      <c r="C5" s="7">
        <v>8.1999999999999993</v>
      </c>
    </row>
    <row r="6" spans="1:3" x14ac:dyDescent="0.2">
      <c r="A6" s="5" t="s">
        <v>19</v>
      </c>
      <c r="B6" s="3">
        <v>1.1551820728291315</v>
      </c>
      <c r="C6" s="7">
        <v>7.6</v>
      </c>
    </row>
    <row r="7" spans="1:3" x14ac:dyDescent="0.2">
      <c r="A7" s="5" t="s">
        <v>16</v>
      </c>
      <c r="B7" s="3">
        <v>0.79090909090909101</v>
      </c>
      <c r="C7" s="7">
        <v>6.9</v>
      </c>
    </row>
    <row r="8" spans="1:3" x14ac:dyDescent="0.2">
      <c r="A8" s="5" t="s">
        <v>20</v>
      </c>
      <c r="B8" s="3">
        <v>0.83463203463203472</v>
      </c>
      <c r="C8" s="7">
        <v>6.7</v>
      </c>
    </row>
    <row r="9" spans="1:3" x14ac:dyDescent="0.2">
      <c r="A9" s="5" t="s">
        <v>18</v>
      </c>
      <c r="B9" s="3">
        <v>1.4</v>
      </c>
      <c r="C9" s="7">
        <v>8</v>
      </c>
    </row>
    <row r="10" spans="1:3" x14ac:dyDescent="0.2">
      <c r="A10" s="5" t="s">
        <v>52</v>
      </c>
      <c r="B10" s="3">
        <v>1.0227622326074339</v>
      </c>
      <c r="C10" s="7">
        <v>7.48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9A89-94BE-6B4D-B438-60D6F910BE10}">
  <dimension ref="A1:K4"/>
  <sheetViews>
    <sheetView zoomScale="93" workbookViewId="0">
      <selection activeCell="E36" sqref="E36"/>
    </sheetView>
  </sheetViews>
  <sheetFormatPr baseColWidth="10" defaultRowHeight="16" x14ac:dyDescent="0.2"/>
  <cols>
    <col min="2" max="2" width="24.33203125" bestFit="1" customWidth="1"/>
    <col min="5" max="5" width="30.83203125" bestFit="1" customWidth="1"/>
    <col min="8" max="8" width="33" bestFit="1" customWidth="1"/>
  </cols>
  <sheetData>
    <row r="1" spans="1:11" ht="39" x14ac:dyDescent="0.45">
      <c r="A1" s="8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22" x14ac:dyDescent="0.3">
      <c r="B3" s="11" t="s">
        <v>53</v>
      </c>
      <c r="E3" s="10" t="s">
        <v>56</v>
      </c>
      <c r="F3" s="9"/>
      <c r="H3" s="10" t="s">
        <v>57</v>
      </c>
    </row>
    <row r="4" spans="1:11" x14ac:dyDescent="0.2">
      <c r="B4" s="1">
        <f>AVERAGE(Calculations!E:E)</f>
        <v>1.0227622326074337</v>
      </c>
      <c r="E4" s="1">
        <f>AVERAGE(Calculations!G:G)</f>
        <v>7.48</v>
      </c>
      <c r="H4" s="1">
        <f>AVERAGE(Calculations!C:C)</f>
        <v>9.9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85A0-D822-4548-864B-FE974FBFB9EA}">
  <dimension ref="A1:B16"/>
  <sheetViews>
    <sheetView tabSelected="1" zoomScale="125" workbookViewId="0">
      <selection activeCell="B17" sqref="B17"/>
    </sheetView>
  </sheetViews>
  <sheetFormatPr baseColWidth="10" defaultRowHeight="16" x14ac:dyDescent="0.2"/>
  <sheetData>
    <row r="1" spans="1:2" ht="24" x14ac:dyDescent="0.3">
      <c r="A1" s="12" t="s">
        <v>58</v>
      </c>
    </row>
    <row r="3" spans="1:2" x14ac:dyDescent="0.2">
      <c r="A3" t="s">
        <v>59</v>
      </c>
      <c r="B3" t="s">
        <v>60</v>
      </c>
    </row>
    <row r="5" spans="1:2" x14ac:dyDescent="0.2">
      <c r="A5" t="s">
        <v>61</v>
      </c>
    </row>
    <row r="7" spans="1:2" x14ac:dyDescent="0.2">
      <c r="A7" t="s">
        <v>62</v>
      </c>
    </row>
    <row r="9" spans="1:2" x14ac:dyDescent="0.2">
      <c r="A9" t="s">
        <v>63</v>
      </c>
    </row>
    <row r="11" spans="1:2" x14ac:dyDescent="0.2">
      <c r="A11" t="s">
        <v>64</v>
      </c>
    </row>
    <row r="15" spans="1:2" x14ac:dyDescent="0.2">
      <c r="A15" t="s">
        <v>65</v>
      </c>
    </row>
    <row r="16" spans="1:2" x14ac:dyDescent="0.2">
      <c r="A1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Business_Context</vt:lpstr>
      <vt:lpstr>Raw_Data</vt:lpstr>
      <vt:lpstr>Calculations</vt:lpstr>
      <vt:lpstr>Analysis_Pivots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Jobanveer Singh</dc:creator>
  <cp:lastModifiedBy>Jobanveer Singh</cp:lastModifiedBy>
  <dcterms:created xsi:type="dcterms:W3CDTF">2026-02-14T05:49:29Z</dcterms:created>
  <dcterms:modified xsi:type="dcterms:W3CDTF">2026-02-15T11:56:01Z</dcterms:modified>
</cp:coreProperties>
</file>